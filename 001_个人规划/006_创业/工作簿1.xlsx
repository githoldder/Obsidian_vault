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1_编程学习\021_Obsidian\Templates\个人规划\创业\"/>
    </mc:Choice>
  </mc:AlternateContent>
  <xr:revisionPtr revIDLastSave="0" documentId="13_ncr:1_{398D2056-E2D4-4F82-A074-C13AC107F37F}" xr6:coauthVersionLast="47" xr6:coauthVersionMax="47" xr10:uidLastSave="{00000000-0000-0000-0000-000000000000}"/>
  <bookViews>
    <workbookView xWindow="-110" yWindow="-110" windowWidth="25820" windowHeight="16220" activeTab="1" xr2:uid="{07BDFC35-6F89-4E80-A492-4DEE4992AA50}"/>
  </bookViews>
  <sheets>
    <sheet name="水果定价表" sheetId="1" r:id="rId1"/>
    <sheet name="总开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F9" i="2"/>
  <c r="F7" i="2"/>
  <c r="D7" i="2"/>
  <c r="E6" i="2"/>
  <c r="E5" i="2"/>
  <c r="E4" i="2"/>
</calcChain>
</file>

<file path=xl/sharedStrings.xml><?xml version="1.0" encoding="utf-8"?>
<sst xmlns="http://schemas.openxmlformats.org/spreadsheetml/2006/main" count="34" uniqueCount="25">
  <si>
    <t>绿果果园夜送水果</t>
    <phoneticPr fontId="1" type="noConversion"/>
  </si>
  <si>
    <t>序号</t>
    <phoneticPr fontId="1" type="noConversion"/>
  </si>
  <si>
    <t>品种</t>
    <phoneticPr fontId="1" type="noConversion"/>
  </si>
  <si>
    <t>成本</t>
    <phoneticPr fontId="1" type="noConversion"/>
  </si>
  <si>
    <t>售价</t>
    <phoneticPr fontId="1" type="noConversion"/>
  </si>
  <si>
    <t>利润</t>
    <phoneticPr fontId="1" type="noConversion"/>
  </si>
  <si>
    <t>苹果</t>
    <phoneticPr fontId="1" type="noConversion"/>
  </si>
  <si>
    <t>3.5/斤</t>
    <phoneticPr fontId="1" type="noConversion"/>
  </si>
  <si>
    <t>7块/斤</t>
    <phoneticPr fontId="1" type="noConversion"/>
  </si>
  <si>
    <t>沃柑</t>
    <phoneticPr fontId="1" type="noConversion"/>
  </si>
  <si>
    <t>3/斤</t>
    <phoneticPr fontId="1" type="noConversion"/>
  </si>
  <si>
    <t>5.8块/斤</t>
    <phoneticPr fontId="1" type="noConversion"/>
  </si>
  <si>
    <t>春见耙耙干</t>
    <phoneticPr fontId="1" type="noConversion"/>
  </si>
  <si>
    <t>5.5/斤</t>
    <phoneticPr fontId="1" type="noConversion"/>
  </si>
  <si>
    <t>市场价</t>
    <phoneticPr fontId="1" type="noConversion"/>
  </si>
  <si>
    <t>8块/斤</t>
    <phoneticPr fontId="1" type="noConversion"/>
  </si>
  <si>
    <t>6块/斤</t>
    <phoneticPr fontId="1" type="noConversion"/>
  </si>
  <si>
    <t>列1</t>
  </si>
  <si>
    <t>名称</t>
    <phoneticPr fontId="1" type="noConversion"/>
  </si>
  <si>
    <t>总账本</t>
    <phoneticPr fontId="1" type="noConversion"/>
  </si>
  <si>
    <t>日期</t>
    <phoneticPr fontId="1" type="noConversion"/>
  </si>
  <si>
    <t>打车</t>
    <phoneticPr fontId="1" type="noConversion"/>
  </si>
  <si>
    <t>保鲜盒、一次性打包盒</t>
    <phoneticPr fontId="1" type="noConversion"/>
  </si>
  <si>
    <t>小型家用电子称</t>
    <phoneticPr fontId="1" type="noConversion"/>
  </si>
  <si>
    <t>标签打印机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</si>
</sst>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D480A2-DEC8-48F9-B42D-525D6899CF16}" name="表2" displayName="表2" ref="A2:G15" totalsRowShown="0" headerRowDxfId="9" dataDxfId="8">
  <autoFilter ref="A2:G15" xr:uid="{BED480A2-DEC8-48F9-B42D-525D6899CF16}"/>
  <tableColumns count="7">
    <tableColumn id="1" xr3:uid="{EEA4E5A9-2C71-4DFE-8C3B-8B10611295B5}" name="序号" dataDxfId="16"/>
    <tableColumn id="2" xr3:uid="{A0E2D636-5C7D-4F77-8D45-89A13474D9DC}" name="品种" dataDxfId="15"/>
    <tableColumn id="3" xr3:uid="{CC1023BC-4E9D-4468-A18F-F2DC162ED001}" name="成本" dataDxfId="14"/>
    <tableColumn id="4" xr3:uid="{7943D170-8C4E-4BCA-B1F1-CB3415703C1A}" name="市场价" dataDxfId="13"/>
    <tableColumn id="5" xr3:uid="{1F38811F-9CA2-4F62-A226-3B2768F9E64F}" name="售价" dataDxfId="12"/>
    <tableColumn id="6" xr3:uid="{959AEB42-DCB3-4D76-91F5-3CFF6C03FCE3}" name="利润" dataDxfId="11"/>
    <tableColumn id="7" xr3:uid="{5FBD074A-D2D2-4503-A531-1D42828DE600}" name="列1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9CF1D7-59BC-409B-B3DC-8A2FC01E19D8}" name="表3" displayName="表3" ref="A2:F20" totalsRowShown="0" headerRowDxfId="1" dataDxfId="0">
  <autoFilter ref="A2:F20" xr:uid="{3F9CF1D7-59BC-409B-B3DC-8A2FC01E19D8}"/>
  <tableColumns count="6">
    <tableColumn id="1" xr3:uid="{AF023851-697C-4CDA-8D0B-351D1154342A}" name="序号" dataDxfId="7"/>
    <tableColumn id="2" xr3:uid="{3A59B955-4810-404A-9BD2-2FE8B3A8BFB0}" name="日期" dataDxfId="6"/>
    <tableColumn id="3" xr3:uid="{20BDC7AC-D9E7-4604-9B7B-D3C8BDFF65E9}" name="名称" dataDxfId="5"/>
    <tableColumn id="4" xr3:uid="{61A203B2-6A8D-4CA4-8AF7-D1982A45676C}" name="成本" dataDxfId="4"/>
    <tableColumn id="5" xr3:uid="{B5261CEC-781D-4913-9B7A-06AC74D77E32}" name="售价" dataDxfId="3"/>
    <tableColumn id="6" xr3:uid="{7F510409-4F47-429B-9687-00BE3EBA94A9}" name="利润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EC96-74C8-47EE-8A4A-2CAD66C0910A}">
  <dimension ref="A1:G15"/>
  <sheetViews>
    <sheetView zoomScale="172" zoomScaleNormal="220" workbookViewId="0">
      <selection activeCell="E18" sqref="E18"/>
    </sheetView>
  </sheetViews>
  <sheetFormatPr defaultRowHeight="14" x14ac:dyDescent="0.3"/>
  <sheetData>
    <row r="1" spans="1:7" x14ac:dyDescent="0.3">
      <c r="A1" s="3" t="s">
        <v>0</v>
      </c>
      <c r="B1" s="3"/>
      <c r="C1" s="3"/>
      <c r="D1" s="3"/>
      <c r="E1" s="3"/>
      <c r="F1" s="3"/>
      <c r="G1" s="3"/>
    </row>
    <row r="2" spans="1:7" x14ac:dyDescent="0.3">
      <c r="A2" s="1" t="s">
        <v>1</v>
      </c>
      <c r="B2" s="1" t="s">
        <v>2</v>
      </c>
      <c r="C2" s="1" t="s">
        <v>3</v>
      </c>
      <c r="D2" s="1" t="s">
        <v>14</v>
      </c>
      <c r="E2" s="1" t="s">
        <v>4</v>
      </c>
      <c r="F2" s="1" t="s">
        <v>5</v>
      </c>
      <c r="G2" s="1" t="s">
        <v>17</v>
      </c>
    </row>
    <row r="3" spans="1:7" x14ac:dyDescent="0.3">
      <c r="A3" s="1">
        <v>1</v>
      </c>
      <c r="B3" s="1" t="s">
        <v>6</v>
      </c>
      <c r="C3" s="1" t="s">
        <v>7</v>
      </c>
      <c r="D3" s="1" t="s">
        <v>15</v>
      </c>
      <c r="E3" s="1" t="s">
        <v>8</v>
      </c>
      <c r="F3" s="4">
        <v>1</v>
      </c>
      <c r="G3" s="1"/>
    </row>
    <row r="4" spans="1:7" x14ac:dyDescent="0.3">
      <c r="A4" s="1">
        <v>2</v>
      </c>
      <c r="B4" s="1" t="s">
        <v>9</v>
      </c>
      <c r="C4" s="1" t="s">
        <v>10</v>
      </c>
      <c r="D4" s="1" t="s">
        <v>16</v>
      </c>
      <c r="E4" s="1" t="s">
        <v>11</v>
      </c>
      <c r="F4" s="4">
        <v>0.93</v>
      </c>
      <c r="G4" s="1"/>
    </row>
    <row r="5" spans="1:7" x14ac:dyDescent="0.3">
      <c r="A5" s="1">
        <v>3</v>
      </c>
      <c r="B5" s="1" t="s">
        <v>12</v>
      </c>
      <c r="C5" s="1" t="s">
        <v>13</v>
      </c>
      <c r="D5" s="1" t="s">
        <v>15</v>
      </c>
      <c r="E5" s="1" t="s">
        <v>8</v>
      </c>
      <c r="F5" s="4">
        <v>0.27</v>
      </c>
      <c r="G5" s="1"/>
    </row>
    <row r="6" spans="1:7" x14ac:dyDescent="0.3">
      <c r="A6" s="1">
        <v>4</v>
      </c>
      <c r="B6" s="1"/>
      <c r="C6" s="1"/>
      <c r="D6" s="1"/>
      <c r="E6" s="1"/>
      <c r="F6" s="1"/>
      <c r="G6" s="1"/>
    </row>
    <row r="7" spans="1:7" x14ac:dyDescent="0.3">
      <c r="A7" s="1">
        <v>5</v>
      </c>
      <c r="B7" s="1"/>
      <c r="C7" s="1"/>
      <c r="D7" s="1"/>
      <c r="E7" s="1"/>
      <c r="F7" s="1"/>
      <c r="G7" s="1"/>
    </row>
    <row r="8" spans="1:7" x14ac:dyDescent="0.3">
      <c r="A8" s="1">
        <v>6</v>
      </c>
      <c r="B8" s="1"/>
      <c r="C8" s="1"/>
      <c r="D8" s="1"/>
      <c r="E8" s="1"/>
      <c r="F8" s="1"/>
      <c r="G8" s="1"/>
    </row>
    <row r="9" spans="1:7" x14ac:dyDescent="0.3">
      <c r="A9" s="1">
        <v>7</v>
      </c>
      <c r="B9" s="1"/>
      <c r="C9" s="1"/>
      <c r="D9" s="1"/>
      <c r="E9" s="1"/>
      <c r="F9" s="1"/>
      <c r="G9" s="1"/>
    </row>
    <row r="10" spans="1:7" x14ac:dyDescent="0.3">
      <c r="A10" s="1">
        <v>8</v>
      </c>
      <c r="B10" s="1"/>
      <c r="C10" s="1"/>
      <c r="D10" s="1"/>
      <c r="E10" s="1"/>
      <c r="F10" s="1"/>
      <c r="G10" s="1"/>
    </row>
    <row r="11" spans="1:7" x14ac:dyDescent="0.3">
      <c r="A11" s="1">
        <v>9</v>
      </c>
      <c r="B11" s="1"/>
      <c r="C11" s="1"/>
      <c r="D11" s="1"/>
      <c r="E11" s="1"/>
      <c r="F11" s="1"/>
      <c r="G11" s="1"/>
    </row>
    <row r="12" spans="1:7" x14ac:dyDescent="0.3">
      <c r="A12" s="1">
        <v>10</v>
      </c>
      <c r="B12" s="1"/>
      <c r="C12" s="1"/>
      <c r="D12" s="1"/>
      <c r="E12" s="1"/>
      <c r="F12" s="1"/>
      <c r="G12" s="1"/>
    </row>
    <row r="13" spans="1:7" x14ac:dyDescent="0.3">
      <c r="A13" s="1">
        <v>11</v>
      </c>
      <c r="B13" s="1"/>
      <c r="C13" s="1"/>
      <c r="D13" s="1"/>
      <c r="E13" s="1"/>
      <c r="F13" s="1"/>
      <c r="G13" s="1"/>
    </row>
    <row r="14" spans="1:7" x14ac:dyDescent="0.3">
      <c r="A14" s="1">
        <v>12</v>
      </c>
      <c r="B14" s="1"/>
      <c r="C14" s="1"/>
      <c r="D14" s="1"/>
      <c r="E14" s="1"/>
      <c r="F14" s="1"/>
      <c r="G14" s="1"/>
    </row>
    <row r="15" spans="1:7" x14ac:dyDescent="0.3">
      <c r="A15" s="1">
        <v>13</v>
      </c>
      <c r="B15" s="1"/>
      <c r="C15" s="1"/>
      <c r="D15" s="1"/>
      <c r="E15" s="1"/>
      <c r="F15" s="1"/>
      <c r="G15" s="1"/>
    </row>
  </sheetData>
  <mergeCells count="1">
    <mergeCell ref="A1:G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91EC-774B-4FE6-AA6C-3E34803A3641}">
  <dimension ref="A1:F20"/>
  <sheetViews>
    <sheetView tabSelected="1" zoomScale="167" workbookViewId="0">
      <selection activeCell="G2" sqref="G2"/>
    </sheetView>
  </sheetViews>
  <sheetFormatPr defaultRowHeight="14" x14ac:dyDescent="0.3"/>
  <cols>
    <col min="3" max="3" width="20.25" bestFit="1" customWidth="1"/>
  </cols>
  <sheetData>
    <row r="1" spans="1:6" x14ac:dyDescent="0.3">
      <c r="A1" s="2" t="s">
        <v>19</v>
      </c>
      <c r="B1" s="2"/>
      <c r="C1" s="2"/>
      <c r="D1" s="2"/>
      <c r="E1" s="2"/>
      <c r="F1" s="2"/>
    </row>
    <row r="2" spans="1:6" x14ac:dyDescent="0.3">
      <c r="A2" s="1" t="s">
        <v>1</v>
      </c>
      <c r="B2" s="1" t="s">
        <v>20</v>
      </c>
      <c r="C2" s="1" t="s">
        <v>18</v>
      </c>
      <c r="D2" s="1" t="s">
        <v>3</v>
      </c>
      <c r="E2" s="1" t="s">
        <v>4</v>
      </c>
      <c r="F2" s="1" t="s">
        <v>5</v>
      </c>
    </row>
    <row r="3" spans="1:6" x14ac:dyDescent="0.3">
      <c r="A3" s="1">
        <v>1</v>
      </c>
      <c r="B3" s="1">
        <v>4.13</v>
      </c>
      <c r="C3" s="1" t="s">
        <v>21</v>
      </c>
      <c r="D3" s="1">
        <v>32.65</v>
      </c>
      <c r="E3" s="1">
        <v>0</v>
      </c>
      <c r="F3" s="1"/>
    </row>
    <row r="4" spans="1:6" x14ac:dyDescent="0.3">
      <c r="A4" s="1">
        <v>2</v>
      </c>
      <c r="B4" s="1">
        <v>4.13</v>
      </c>
      <c r="C4" s="1" t="s">
        <v>6</v>
      </c>
      <c r="D4" s="1">
        <v>104</v>
      </c>
      <c r="E4" s="1">
        <f>14+7+14+7+7+7+7+7</f>
        <v>70</v>
      </c>
      <c r="F4" s="1">
        <v>-34</v>
      </c>
    </row>
    <row r="5" spans="1:6" x14ac:dyDescent="0.3">
      <c r="A5" s="1">
        <v>3</v>
      </c>
      <c r="B5" s="1">
        <v>4.13</v>
      </c>
      <c r="C5" s="1" t="s">
        <v>9</v>
      </c>
      <c r="D5" s="1">
        <v>60</v>
      </c>
      <c r="E5" s="1">
        <f>9+9+9+9+9</f>
        <v>45</v>
      </c>
      <c r="F5" s="1">
        <v>-15</v>
      </c>
    </row>
    <row r="6" spans="1:6" x14ac:dyDescent="0.3">
      <c r="A6" s="1">
        <v>4</v>
      </c>
      <c r="B6" s="1">
        <v>4.13</v>
      </c>
      <c r="C6" s="1" t="s">
        <v>12</v>
      </c>
      <c r="D6" s="1">
        <v>154</v>
      </c>
      <c r="E6" s="1">
        <f>7+14+24+7+7+7+7+7</f>
        <v>80</v>
      </c>
      <c r="F6" s="1">
        <v>-74</v>
      </c>
    </row>
    <row r="7" spans="1:6" x14ac:dyDescent="0.3">
      <c r="A7" s="1">
        <v>5</v>
      </c>
      <c r="B7" s="1">
        <v>4.13</v>
      </c>
      <c r="C7" s="1" t="s">
        <v>22</v>
      </c>
      <c r="D7" s="1">
        <f>20.5+21.96</f>
        <v>42.46</v>
      </c>
      <c r="E7" s="1">
        <v>0</v>
      </c>
      <c r="F7" s="1">
        <f>-D7</f>
        <v>-42.46</v>
      </c>
    </row>
    <row r="8" spans="1:6" x14ac:dyDescent="0.3">
      <c r="A8" s="1">
        <v>6</v>
      </c>
      <c r="B8" s="1">
        <v>4.13</v>
      </c>
      <c r="C8" s="1" t="s">
        <v>23</v>
      </c>
      <c r="D8" s="1">
        <v>28.8</v>
      </c>
      <c r="E8" s="1">
        <v>0</v>
      </c>
      <c r="F8" s="1">
        <f t="shared" ref="F8:F9" si="0">-D8</f>
        <v>-28.8</v>
      </c>
    </row>
    <row r="9" spans="1:6" x14ac:dyDescent="0.3">
      <c r="A9" s="1">
        <v>7</v>
      </c>
      <c r="B9" s="1">
        <v>4.13</v>
      </c>
      <c r="C9" s="1" t="s">
        <v>24</v>
      </c>
      <c r="D9" s="1">
        <v>80</v>
      </c>
      <c r="E9" s="1">
        <v>0</v>
      </c>
      <c r="F9" s="1">
        <f t="shared" si="0"/>
        <v>-80</v>
      </c>
    </row>
    <row r="10" spans="1:6" x14ac:dyDescent="0.3">
      <c r="A10" s="1">
        <v>8</v>
      </c>
      <c r="B10" s="1">
        <v>4.1500000000000004</v>
      </c>
      <c r="C10" s="1"/>
      <c r="D10" s="1"/>
      <c r="E10" s="1"/>
      <c r="F10" s="1"/>
    </row>
    <row r="11" spans="1:6" x14ac:dyDescent="0.3">
      <c r="A11" s="1">
        <v>9</v>
      </c>
      <c r="B11" s="1">
        <v>4.1500000000000004</v>
      </c>
      <c r="C11" s="1"/>
      <c r="D11" s="1"/>
      <c r="E11" s="1"/>
      <c r="F11" s="1"/>
    </row>
    <row r="12" spans="1:6" x14ac:dyDescent="0.3">
      <c r="A12" s="1">
        <v>10</v>
      </c>
      <c r="B12" s="1"/>
      <c r="C12" s="1"/>
      <c r="D12" s="1"/>
      <c r="E12" s="1"/>
      <c r="F12" s="1"/>
    </row>
    <row r="13" spans="1:6" x14ac:dyDescent="0.3">
      <c r="A13" s="1">
        <v>11</v>
      </c>
      <c r="B13" s="1"/>
      <c r="C13" s="1"/>
      <c r="D13" s="1"/>
      <c r="E13" s="1"/>
      <c r="F13" s="1"/>
    </row>
    <row r="14" spans="1:6" x14ac:dyDescent="0.3">
      <c r="A14" s="1">
        <v>12</v>
      </c>
      <c r="B14" s="1"/>
      <c r="C14" s="1"/>
      <c r="D14" s="1"/>
      <c r="E14" s="1"/>
      <c r="F14" s="1"/>
    </row>
    <row r="15" spans="1:6" x14ac:dyDescent="0.3">
      <c r="A15" s="1">
        <v>13</v>
      </c>
      <c r="B15" s="1"/>
      <c r="C15" s="1"/>
      <c r="D15" s="1"/>
      <c r="E15" s="1"/>
      <c r="F15" s="1"/>
    </row>
    <row r="16" spans="1:6" x14ac:dyDescent="0.3">
      <c r="A16" s="1">
        <v>14</v>
      </c>
      <c r="B16" s="1"/>
      <c r="C16" s="1"/>
      <c r="D16" s="1"/>
      <c r="E16" s="1"/>
      <c r="F16" s="1"/>
    </row>
    <row r="17" spans="1:6" x14ac:dyDescent="0.3">
      <c r="A17" s="1">
        <v>15</v>
      </c>
      <c r="B17" s="1"/>
      <c r="C17" s="1"/>
      <c r="D17" s="1"/>
      <c r="E17" s="1"/>
      <c r="F17" s="1"/>
    </row>
    <row r="18" spans="1:6" x14ac:dyDescent="0.3">
      <c r="A18" s="1">
        <v>16</v>
      </c>
      <c r="B18" s="1"/>
      <c r="C18" s="1"/>
      <c r="D18" s="1"/>
      <c r="E18" s="1"/>
      <c r="F18" s="1"/>
    </row>
    <row r="19" spans="1:6" x14ac:dyDescent="0.3">
      <c r="A19" s="1">
        <v>17</v>
      </c>
      <c r="B19" s="1"/>
      <c r="C19" s="1"/>
      <c r="D19" s="1"/>
      <c r="E19" s="1"/>
      <c r="F19" s="1"/>
    </row>
    <row r="20" spans="1:6" x14ac:dyDescent="0.3">
      <c r="A20" s="1">
        <v>18</v>
      </c>
      <c r="B20" s="1"/>
      <c r="C20" s="1"/>
      <c r="D20" s="1"/>
      <c r="E20" s="1"/>
      <c r="F20" s="1"/>
    </row>
  </sheetData>
  <mergeCells count="1">
    <mergeCell ref="A1:F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水果定价表</vt:lpstr>
      <vt:lpstr>总开销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1 1</dc:creator>
  <cp:lastModifiedBy>1 1</cp:lastModifiedBy>
  <dcterms:created xsi:type="dcterms:W3CDTF">2025-04-13T10:09:21Z</dcterms:created>
  <dcterms:modified xsi:type="dcterms:W3CDTF">2025-04-14T17:23:06Z</dcterms:modified>
</cp:coreProperties>
</file>